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sumo_Executivo" sheetId="1" state="visible" r:id="rId1"/>
    <sheet xmlns:r="http://schemas.openxmlformats.org/officeDocument/2006/relationships" name="2_Soja_Serie_Temporal" sheetId="2" state="visible" r:id="rId2"/>
    <sheet xmlns:r="http://schemas.openxmlformats.org/officeDocument/2006/relationships" name="3_Cana_Serie_Temporal" sheetId="3" state="visible" r:id="rId3"/>
    <sheet xmlns:r="http://schemas.openxmlformats.org/officeDocument/2006/relationships" name="4_Pastagem_MapBiomas" sheetId="4" state="visible" r:id="rId4"/>
    <sheet xmlns:r="http://schemas.openxmlformats.org/officeDocument/2006/relationships" name="5_PAM_Todas_Cultu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"/>
    <numFmt numFmtId="166" formatCode="00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color rgb="00833C00"/>
      <sz val="9"/>
    </font>
    <font>
      <name val="Arial"/>
      <color rgb="001F4E79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1F4E79"/>
      <sz val="10"/>
    </font>
    <font>
      <name val="Arial"/>
      <color rgb="00833C00"/>
      <sz val="10"/>
    </font>
    <font>
      <name val="Arial"/>
      <sz val="10"/>
    </font>
    <font>
      <name val="Arial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833C0066"/>
      </patternFill>
    </fill>
    <fill>
      <patternFill patternType="solid">
        <fgColor rgb="1F4E7966"/>
      </patternFill>
    </fill>
    <fill>
      <patternFill patternType="solid">
        <fgColor rgb="001F4E79"/>
      </patternFill>
    </fill>
    <fill>
      <patternFill patternType="solid">
        <fgColor rgb="00833C0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166" fontId="4" fillId="14" borderId="1" applyAlignment="1" pivotButton="0" quotePrefix="0" xfId="0">
      <alignment horizontal="right" vertical="center"/>
    </xf>
    <xf numFmtId="3" fontId="5" fillId="14" borderId="1" applyAlignment="1" pivotButton="0" quotePrefix="0" xfId="0">
      <alignment horizontal="right" vertical="center"/>
    </xf>
    <xf numFmtId="3" fontId="14" fillId="7" borderId="1" applyAlignment="1" pivotButton="0" quotePrefix="0" xfId="0">
      <alignment horizontal="right" vertical="center"/>
    </xf>
    <xf numFmtId="3" fontId="15" fillId="7" borderId="1" applyAlignment="1" pivotButton="0" quotePrefix="0" xfId="0">
      <alignment horizontal="right" vertical="center"/>
    </xf>
    <xf numFmtId="165" fontId="16" fillId="7" borderId="1" applyAlignment="1" pivotButton="0" quotePrefix="0" xfId="0">
      <alignment horizontal="right"/>
    </xf>
    <xf numFmtId="3" fontId="14" fillId="4" borderId="1" applyAlignment="1" pivotButton="0" quotePrefix="0" xfId="0">
      <alignment horizontal="right" vertical="center"/>
    </xf>
    <xf numFmtId="3" fontId="15" fillId="4" borderId="1" applyAlignment="1" pivotButton="0" quotePrefix="0" xfId="0">
      <alignment horizontal="right" vertical="center"/>
    </xf>
    <xf numFmtId="165" fontId="16" fillId="4" borderId="1" applyAlignment="1" pivotButton="0" quotePrefix="0" xfId="0">
      <alignment horizontal="right"/>
    </xf>
    <xf numFmtId="3" fontId="14" fillId="6" borderId="1" applyAlignment="1" pivotButton="0" quotePrefix="0" xfId="0">
      <alignment horizontal="right" vertical="center"/>
    </xf>
    <xf numFmtId="3" fontId="15" fillId="6" borderId="1" applyAlignment="1" pivotButton="0" quotePrefix="0" xfId="0">
      <alignment horizontal="right" vertical="center"/>
    </xf>
    <xf numFmtId="165" fontId="16" fillId="6" borderId="1" applyAlignment="1" pivotButton="0" quotePrefix="0" xfId="0">
      <alignment horizontal="right"/>
    </xf>
    <xf numFmtId="166" fontId="4" fillId="15" borderId="1" applyAlignment="1" pivotButton="0" quotePrefix="0" xfId="0">
      <alignment horizontal="right" vertical="center"/>
    </xf>
    <xf numFmtId="3" fontId="5" fillId="15" borderId="1" applyAlignment="1" pivotButton="0" quotePrefix="0" xfId="0">
      <alignment horizontal="right" vertical="center"/>
    </xf>
    <xf numFmtId="0" fontId="17" fillId="2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8" customWidth="1" min="4" max="4"/>
    <col width="18" customWidth="1" min="5" max="5"/>
    <col width="18" customWidth="1" min="6" max="6"/>
    <col width="14" customWidth="1" min="7" max="7"/>
    <col width="12" customWidth="1" min="8" max="8"/>
    <col width="22" customWidth="1" min="9" max="9"/>
    <col width="14" customWidth="1" min="10" max="10"/>
  </cols>
  <sheetData>
    <row r="1" ht="35" customHeight="1">
      <c r="A1" s="1" t="inlineStr">
        <is>
          <t>Comparativo de Área Agrícola: MapBiomas Col.10.1 vs PAM/IBGE — Regiões Intermediárias Selecionadas (2008–2024)</t>
        </is>
      </c>
    </row>
    <row r="2" ht="18" customHeight="1">
      <c r="A2" s="2" t="inlineStr">
        <is>
          <t>Fonte MB: MapBiomas Coleção 10.1 (2026) | Fonte PAM: IBGE/PAM Tabela 5457 | Regiões: Porto Velho (RO) · Barreiras (BA) · Porangatu–Uruaçu (GO)</t>
        </is>
      </c>
    </row>
    <row r="4" ht="14" customHeight="1">
      <c r="A4" s="3" t="inlineStr">
        <is>
          <t>Região Intermediária</t>
        </is>
      </c>
      <c r="B4" s="3" t="inlineStr">
        <is>
          <t>Bioma</t>
        </is>
      </c>
      <c r="C4" s="3" t="inlineStr">
        <is>
          <t>Cultura</t>
        </is>
      </c>
      <c r="D4" s="4" t="inlineStr">
        <is>
          <t>MB médio (mil ha)</t>
        </is>
      </c>
      <c r="E4" s="4" t="inlineStr">
        <is>
          <t>PAM médio (mil ha)</t>
        </is>
      </c>
      <c r="F4" s="4" t="inlineStr">
        <is>
          <t>Gap médio (mil ha)</t>
        </is>
      </c>
      <c r="G4" s="4" t="inlineStr">
        <is>
          <t>Ratio MB/PAM</t>
        </is>
      </c>
      <c r="H4" s="4" t="inlineStr">
        <is>
          <t>Ratio std</t>
        </is>
      </c>
      <c r="I4" s="4" t="inlineStr">
        <is>
          <t>Confiabilidade</t>
        </is>
      </c>
      <c r="J4" s="4" t="inlineStr">
        <is>
          <t>Tendência MB</t>
        </is>
      </c>
    </row>
    <row r="5">
      <c r="A5" s="5" t="inlineStr">
        <is>
          <t>Barreiras</t>
        </is>
      </c>
      <c r="B5" s="6" t="inlineStr">
        <is>
          <t>Caatinga</t>
        </is>
      </c>
      <c r="C5" s="5" t="inlineStr">
        <is>
          <t>CANA</t>
        </is>
      </c>
      <c r="D5" s="7" t="n">
        <v>0</v>
      </c>
      <c r="E5" s="7" t="n">
        <v>7</v>
      </c>
      <c r="F5" s="8" t="n">
        <v>7</v>
      </c>
      <c r="G5" s="9" t="n">
        <v>0.001</v>
      </c>
      <c r="H5" s="9" t="n">
        <v>0.002</v>
      </c>
      <c r="I5" s="10" t="inlineStr">
        <is>
          <t>MB SUBESTIMA MUITO</t>
        </is>
      </c>
      <c r="J5" s="11" t="inlineStr">
        <is>
          <t>crescente</t>
        </is>
      </c>
    </row>
    <row r="6">
      <c r="A6" s="5" t="inlineStr">
        <is>
          <t>Barreiras</t>
        </is>
      </c>
      <c r="B6" s="6" t="inlineStr">
        <is>
          <t>Caatinga</t>
        </is>
      </c>
      <c r="C6" s="5" t="inlineStr">
        <is>
          <t>SOJA</t>
        </is>
      </c>
      <c r="D6" s="7" t="n">
        <v>1</v>
      </c>
      <c r="E6" s="7" t="n">
        <v>529.1</v>
      </c>
      <c r="F6" s="12" t="n">
        <v>528.1</v>
      </c>
      <c r="G6" s="9" t="n">
        <v>0.002</v>
      </c>
      <c r="H6" s="9" t="n">
        <v>0.001</v>
      </c>
      <c r="I6" s="10" t="inlineStr">
        <is>
          <t>MB SUBESTIMA MUITO</t>
        </is>
      </c>
      <c r="J6" s="11" t="inlineStr">
        <is>
          <t>crescente</t>
        </is>
      </c>
    </row>
    <row r="7">
      <c r="A7" s="13" t="inlineStr">
        <is>
          <t>Barreiras</t>
        </is>
      </c>
      <c r="B7" s="14" t="inlineStr">
        <is>
          <t>Cerrado</t>
        </is>
      </c>
      <c r="C7" s="13" t="inlineStr">
        <is>
          <t>SOJA</t>
        </is>
      </c>
      <c r="D7" s="15" t="n">
        <v>1256.9</v>
      </c>
      <c r="E7" s="15" t="n">
        <v>1423.2</v>
      </c>
      <c r="F7" s="16" t="n">
        <v>166.3</v>
      </c>
      <c r="G7" s="17" t="n">
        <v>0.875</v>
      </c>
      <c r="H7" s="17" t="n">
        <v>0.066</v>
      </c>
      <c r="I7" s="18" t="inlineStr">
        <is>
          <t>ALTA</t>
        </is>
      </c>
      <c r="J7" s="19" t="inlineStr">
        <is>
          <t>crescente</t>
        </is>
      </c>
    </row>
    <row r="8">
      <c r="A8" s="13" t="inlineStr">
        <is>
          <t>Porangatu - Uruaçu</t>
        </is>
      </c>
      <c r="B8" s="14" t="inlineStr">
        <is>
          <t>Cerrado</t>
        </is>
      </c>
      <c r="C8" s="13" t="inlineStr">
        <is>
          <t>CANA</t>
        </is>
      </c>
      <c r="D8" s="15" t="n">
        <v>116.8</v>
      </c>
      <c r="E8" s="15" t="n">
        <v>130.2</v>
      </c>
      <c r="F8" s="20" t="n">
        <v>13.4</v>
      </c>
      <c r="G8" s="17" t="n">
        <v>0.9</v>
      </c>
      <c r="H8" s="17" t="n">
        <v>0.123</v>
      </c>
      <c r="I8" s="21" t="inlineStr">
        <is>
          <t>MÉDIA</t>
        </is>
      </c>
      <c r="J8" s="19" t="inlineStr">
        <is>
          <t>crescente</t>
        </is>
      </c>
    </row>
    <row r="9">
      <c r="A9" s="13" t="inlineStr">
        <is>
          <t>Porangatu - Uruaçu</t>
        </is>
      </c>
      <c r="B9" s="14" t="inlineStr">
        <is>
          <t>Cerrado</t>
        </is>
      </c>
      <c r="C9" s="13" t="inlineStr">
        <is>
          <t>SOJA</t>
        </is>
      </c>
      <c r="D9" s="15" t="n">
        <v>160.5</v>
      </c>
      <c r="E9" s="15" t="n">
        <v>157.3</v>
      </c>
      <c r="F9" s="20" t="n">
        <v>-3.2</v>
      </c>
      <c r="G9" s="17" t="n">
        <v>1.025</v>
      </c>
      <c r="H9" s="17" t="n">
        <v>0.154</v>
      </c>
      <c r="I9" s="21" t="inlineStr">
        <is>
          <t>MÉDIA</t>
        </is>
      </c>
      <c r="J9" s="19" t="inlineStr">
        <is>
          <t>crescente</t>
        </is>
      </c>
    </row>
    <row r="10">
      <c r="A10" s="22" t="inlineStr">
        <is>
          <t>Porto Velho</t>
        </is>
      </c>
      <c r="B10" s="23" t="inlineStr">
        <is>
          <t>Amazônia</t>
        </is>
      </c>
      <c r="C10" s="22" t="inlineStr">
        <is>
          <t>SOJA</t>
        </is>
      </c>
      <c r="D10" s="24" t="n">
        <v>26.8</v>
      </c>
      <c r="E10" s="24" t="n">
        <v>72.2</v>
      </c>
      <c r="F10" s="25" t="n">
        <v>45.4</v>
      </c>
      <c r="G10" s="26" t="n">
        <v>0.312</v>
      </c>
      <c r="H10" s="26" t="n">
        <v>0.16</v>
      </c>
      <c r="I10" s="10" t="inlineStr">
        <is>
          <t>MB SUBESTIMA MUITO</t>
        </is>
      </c>
      <c r="J10" s="27" t="inlineStr">
        <is>
          <t>crescente</t>
        </is>
      </c>
    </row>
  </sheetData>
  <mergeCells count="3">
    <mergeCell ref="A1:P1"/>
    <mergeCell ref="A4"/>
    <mergeCell ref="A2:P2"/>
  </mergeCells>
  <conditionalFormatting sqref="G5:G10">
    <cfRule type="cellIs" priority="1" operator="lessThan" dxfId="0">
      <formula>0.7</formula>
    </cfRule>
    <cfRule type="cellIs" priority="2" operator="between" dxfId="1">
      <formula>0.7</formula>
      <formula>0.85</formula>
    </cfRule>
    <cfRule type="cellIs" priority="3" operator="greaterThan" dxfId="2">
      <formula>0.85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4" customWidth="1" min="12" max="12"/>
    <col width="16" customWidth="1" min="13" max="13"/>
    <col width="16" customWidth="1" min="14" max="14"/>
    <col width="14" customWidth="1" min="15" max="15"/>
  </cols>
  <sheetData>
    <row r="1" ht="30" customHeight="1">
      <c r="A1" s="28" t="inlineStr">
        <is>
          <t>Soja — Série Temporal Completa: MapBiomas vs PAM por Região e Bioma (2008–2024)</t>
        </is>
      </c>
    </row>
    <row r="2">
      <c r="A2" s="29" t="n"/>
      <c r="B2" s="29" t="n"/>
      <c r="C2" s="29" t="n"/>
      <c r="D2" s="30" t="inlineStr">
        <is>
          <t>Porto Velho | Amazônia</t>
        </is>
      </c>
      <c r="E2" s="29" t="n"/>
      <c r="F2" s="29" t="n"/>
      <c r="G2" s="31" t="inlineStr">
        <is>
          <t>Barreiras | Caatinga</t>
        </is>
      </c>
      <c r="H2" s="29" t="n"/>
      <c r="I2" s="29" t="n"/>
      <c r="J2" s="32" t="inlineStr">
        <is>
          <t>Barreiras | Cerrado</t>
        </is>
      </c>
      <c r="K2" s="29" t="n"/>
      <c r="L2" s="29" t="n"/>
      <c r="M2" s="32" t="inlineStr">
        <is>
          <t>Porangatu - Uruaçu | Cerrado</t>
        </is>
      </c>
      <c r="N2" s="29" t="n"/>
      <c r="O2" s="29" t="n"/>
    </row>
    <row r="3">
      <c r="A3" s="3" t="inlineStr">
        <is>
          <t>Ano</t>
        </is>
      </c>
      <c r="B3" s="33" t="inlineStr">
        <is>
          <t>PAM Total (ha)</t>
        </is>
      </c>
      <c r="C3" s="34" t="inlineStr">
        <is>
          <t>MB Total (ha)</t>
        </is>
      </c>
      <c r="D3" s="35" t="inlineStr">
        <is>
          <t>MB (ha)</t>
        </is>
      </c>
      <c r="E3" s="36" t="inlineStr">
        <is>
          <t>PAM (ha)</t>
        </is>
      </c>
      <c r="F3" s="37" t="inlineStr">
        <is>
          <t>Ratio MB/PAM</t>
        </is>
      </c>
      <c r="G3" s="35" t="inlineStr">
        <is>
          <t>MB (ha)</t>
        </is>
      </c>
      <c r="H3" s="36" t="inlineStr">
        <is>
          <t>PAM (ha)</t>
        </is>
      </c>
      <c r="I3" s="37" t="inlineStr">
        <is>
          <t>Ratio MB/PAM</t>
        </is>
      </c>
      <c r="J3" s="35" t="inlineStr">
        <is>
          <t>MB (ha)</t>
        </is>
      </c>
      <c r="K3" s="36" t="inlineStr">
        <is>
          <t>PAM (ha)</t>
        </is>
      </c>
      <c r="L3" s="37" t="inlineStr">
        <is>
          <t>Ratio MB/PAM</t>
        </is>
      </c>
      <c r="M3" s="35" t="inlineStr">
        <is>
          <t>MB (ha)</t>
        </is>
      </c>
      <c r="N3" s="36" t="inlineStr">
        <is>
          <t>PAM (ha)</t>
        </is>
      </c>
      <c r="O3" s="37" t="inlineStr">
        <is>
          <t>Ratio MB/PAM</t>
        </is>
      </c>
    </row>
    <row r="4">
      <c r="A4" s="38" t="n">
        <v>2008</v>
      </c>
      <c r="B4" s="39" t="n">
        <v>967650</v>
      </c>
      <c r="C4" s="39" t="n">
        <v>794609</v>
      </c>
      <c r="D4" s="40" t="n">
        <v>27</v>
      </c>
      <c r="E4" s="41" t="n">
        <v>400</v>
      </c>
      <c r="F4" s="42">
        <f>IF(E4&gt;0,D4/E4,"N/A")</f>
        <v/>
      </c>
      <c r="G4" s="43" t="n">
        <v>59</v>
      </c>
      <c r="H4" s="44" t="n">
        <v>352900</v>
      </c>
      <c r="I4" s="45">
        <f>IF(H4&gt;0,G4/H4,"N/A")</f>
        <v/>
      </c>
      <c r="J4" s="46" t="n">
        <v>728728</v>
      </c>
      <c r="K4" s="47" t="n">
        <v>903000</v>
      </c>
      <c r="L4" s="48">
        <f>IF(K4&gt;0,J4/K4,"N/A")</f>
        <v/>
      </c>
      <c r="M4" s="46" t="n">
        <v>65795</v>
      </c>
      <c r="N4" s="47" t="n">
        <v>63850</v>
      </c>
      <c r="O4" s="48">
        <f>IF(N4&gt;0,M4/N4,"N/A")</f>
        <v/>
      </c>
    </row>
    <row r="5">
      <c r="A5" s="49" t="n">
        <v>2009</v>
      </c>
      <c r="B5" s="50" t="n">
        <v>1014619</v>
      </c>
      <c r="C5" s="50" t="n">
        <v>799457</v>
      </c>
      <c r="D5" s="40" t="n">
        <v>13</v>
      </c>
      <c r="E5" s="41" t="n">
        <v>720</v>
      </c>
      <c r="F5" s="42">
        <f>IF(E5&gt;0,D5/E5,"N/A")</f>
        <v/>
      </c>
      <c r="G5" s="43" t="n">
        <v>32</v>
      </c>
      <c r="H5" s="44" t="n">
        <v>334263</v>
      </c>
      <c r="I5" s="45">
        <f>IF(H5&gt;0,G5/H5,"N/A")</f>
        <v/>
      </c>
      <c r="J5" s="46" t="n">
        <v>732900</v>
      </c>
      <c r="K5" s="47" t="n">
        <v>948499</v>
      </c>
      <c r="L5" s="48">
        <f>IF(K5&gt;0,J5/K5,"N/A")</f>
        <v/>
      </c>
      <c r="M5" s="46" t="n">
        <v>66512</v>
      </c>
      <c r="N5" s="47" t="n">
        <v>65400</v>
      </c>
      <c r="O5" s="48">
        <f>IF(N5&gt;0,M5/N5,"N/A")</f>
        <v/>
      </c>
    </row>
    <row r="6">
      <c r="A6" s="38" t="n">
        <v>2010</v>
      </c>
      <c r="B6" s="39" t="n">
        <v>1088885</v>
      </c>
      <c r="C6" s="39" t="n">
        <v>960894</v>
      </c>
      <c r="D6" s="40" t="n">
        <v>90</v>
      </c>
      <c r="E6" s="41" t="n">
        <v>1805</v>
      </c>
      <c r="F6" s="42">
        <f>IF(E6&gt;0,D6/E6,"N/A")</f>
        <v/>
      </c>
      <c r="G6" s="43" t="n">
        <v>381</v>
      </c>
      <c r="H6" s="44" t="n">
        <v>344714</v>
      </c>
      <c r="I6" s="45">
        <f>IF(H6&gt;0,G6/H6,"N/A")</f>
        <v/>
      </c>
      <c r="J6" s="46" t="n">
        <v>881394</v>
      </c>
      <c r="K6" s="47" t="n">
        <v>1014950</v>
      </c>
      <c r="L6" s="48">
        <f>IF(K6&gt;0,J6/K6,"N/A")</f>
        <v/>
      </c>
      <c r="M6" s="46" t="n">
        <v>79029</v>
      </c>
      <c r="N6" s="47" t="n">
        <v>72130</v>
      </c>
      <c r="O6" s="48">
        <f>IF(N6&gt;0,M6/N6,"N/A")</f>
        <v/>
      </c>
    </row>
    <row r="7">
      <c r="A7" s="49" t="n">
        <v>2011</v>
      </c>
      <c r="B7" s="50" t="n">
        <v>1130611</v>
      </c>
      <c r="C7" s="50" t="n">
        <v>1074421</v>
      </c>
      <c r="D7" s="40" t="n">
        <v>959</v>
      </c>
      <c r="E7" s="41" t="n">
        <v>2055</v>
      </c>
      <c r="F7" s="42">
        <f>IF(E7&gt;0,D7/E7,"N/A")</f>
        <v/>
      </c>
      <c r="G7" s="43" t="n">
        <v>463</v>
      </c>
      <c r="H7" s="44" t="n">
        <v>366327</v>
      </c>
      <c r="I7" s="45">
        <f>IF(H7&gt;0,G7/H7,"N/A")</f>
        <v/>
      </c>
      <c r="J7" s="46" t="n">
        <v>983816</v>
      </c>
      <c r="K7" s="47" t="n">
        <v>1043200</v>
      </c>
      <c r="L7" s="48">
        <f>IF(K7&gt;0,J7/K7,"N/A")</f>
        <v/>
      </c>
      <c r="M7" s="46" t="n">
        <v>89183</v>
      </c>
      <c r="N7" s="47" t="n">
        <v>85356</v>
      </c>
      <c r="O7" s="48">
        <f>IF(N7&gt;0,M7/N7,"N/A")</f>
        <v/>
      </c>
    </row>
    <row r="8">
      <c r="A8" s="38" t="n">
        <v>2012</v>
      </c>
      <c r="B8" s="39" t="n">
        <v>1222425</v>
      </c>
      <c r="C8" s="39" t="n">
        <v>1038305</v>
      </c>
      <c r="D8" s="40" t="n">
        <v>1202</v>
      </c>
      <c r="E8" s="41" t="n">
        <v>4802</v>
      </c>
      <c r="F8" s="42">
        <f>IF(E8&gt;0,D8/E8,"N/A")</f>
        <v/>
      </c>
      <c r="G8" s="43" t="n">
        <v>447</v>
      </c>
      <c r="H8" s="44" t="n">
        <v>379902</v>
      </c>
      <c r="I8" s="45">
        <f>IF(H8&gt;0,G8/H8,"N/A")</f>
        <v/>
      </c>
      <c r="J8" s="46" t="n">
        <v>934928</v>
      </c>
      <c r="K8" s="47" t="n">
        <v>1110157</v>
      </c>
      <c r="L8" s="48">
        <f>IF(K8&gt;0,J8/K8,"N/A")</f>
        <v/>
      </c>
      <c r="M8" s="46" t="n">
        <v>101728</v>
      </c>
      <c r="N8" s="47" t="n">
        <v>107466</v>
      </c>
      <c r="O8" s="48">
        <f>IF(N8&gt;0,M8/N8,"N/A")</f>
        <v/>
      </c>
    </row>
    <row r="9">
      <c r="A9" s="49" t="n">
        <v>2013</v>
      </c>
      <c r="B9" s="50" t="n">
        <v>1333839</v>
      </c>
      <c r="C9" s="50" t="n">
        <v>1019491</v>
      </c>
      <c r="D9" s="40" t="n">
        <v>1558</v>
      </c>
      <c r="E9" s="41" t="n">
        <v>5152</v>
      </c>
      <c r="F9" s="42">
        <f>IF(E9&gt;0,D9/E9,"N/A")</f>
        <v/>
      </c>
      <c r="G9" s="43" t="n">
        <v>784</v>
      </c>
      <c r="H9" s="44" t="n">
        <v>424059</v>
      </c>
      <c r="I9" s="45">
        <f>IF(H9&gt;0,G9/H9,"N/A")</f>
        <v/>
      </c>
      <c r="J9" s="46" t="n">
        <v>927102</v>
      </c>
      <c r="K9" s="47" t="n">
        <v>1209267</v>
      </c>
      <c r="L9" s="48">
        <f>IF(K9&gt;0,J9/K9,"N/A")</f>
        <v/>
      </c>
      <c r="M9" s="46" t="n">
        <v>90047</v>
      </c>
      <c r="N9" s="47" t="n">
        <v>119420</v>
      </c>
      <c r="O9" s="48">
        <f>IF(N9&gt;0,M9/N9,"N/A")</f>
        <v/>
      </c>
    </row>
    <row r="10">
      <c r="A10" s="38" t="n">
        <v>2014</v>
      </c>
      <c r="B10" s="39" t="n">
        <v>1422879</v>
      </c>
      <c r="C10" s="39" t="n">
        <v>1149048</v>
      </c>
      <c r="D10" s="40" t="n">
        <v>3075</v>
      </c>
      <c r="E10" s="41" t="n">
        <v>12616</v>
      </c>
      <c r="F10" s="42">
        <f>IF(E10&gt;0,D10/E10,"N/A")</f>
        <v/>
      </c>
      <c r="G10" s="43" t="n">
        <v>1031</v>
      </c>
      <c r="H10" s="44" t="n">
        <v>438123</v>
      </c>
      <c r="I10" s="45">
        <f>IF(H10&gt;0,G10/H10,"N/A")</f>
        <v/>
      </c>
      <c r="J10" s="46" t="n">
        <v>1035410</v>
      </c>
      <c r="K10" s="47" t="n">
        <v>1274324</v>
      </c>
      <c r="L10" s="48">
        <f>IF(K10&gt;0,J10/K10,"N/A")</f>
        <v/>
      </c>
      <c r="M10" s="46" t="n">
        <v>109532</v>
      </c>
      <c r="N10" s="47" t="n">
        <v>135894</v>
      </c>
      <c r="O10" s="48">
        <f>IF(N10&gt;0,M10/N10,"N/A")</f>
        <v/>
      </c>
    </row>
    <row r="11">
      <c r="A11" s="49" t="n">
        <v>2015</v>
      </c>
      <c r="B11" s="50" t="n">
        <v>1614739</v>
      </c>
      <c r="C11" s="50" t="n">
        <v>1298711</v>
      </c>
      <c r="D11" s="40" t="n">
        <v>6898</v>
      </c>
      <c r="E11" s="41" t="n">
        <v>25717</v>
      </c>
      <c r="F11" s="42">
        <f>IF(E11&gt;0,D11/E11,"N/A")</f>
        <v/>
      </c>
      <c r="G11" s="43" t="n">
        <v>832</v>
      </c>
      <c r="H11" s="44" t="n">
        <v>580463</v>
      </c>
      <c r="I11" s="45">
        <f>IF(H11&gt;0,G11/H11,"N/A")</f>
        <v/>
      </c>
      <c r="J11" s="46" t="n">
        <v>1130625</v>
      </c>
      <c r="K11" s="47" t="n">
        <v>1437663</v>
      </c>
      <c r="L11" s="48">
        <f>IF(K11&gt;0,J11/K11,"N/A")</f>
        <v/>
      </c>
      <c r="M11" s="46" t="n">
        <v>160356</v>
      </c>
      <c r="N11" s="47" t="n">
        <v>151359</v>
      </c>
      <c r="O11" s="48">
        <f>IF(N11&gt;0,M11/N11,"N/A")</f>
        <v/>
      </c>
    </row>
    <row r="12">
      <c r="A12" s="38" t="n">
        <v>2016</v>
      </c>
      <c r="B12" s="39" t="n">
        <v>1732043</v>
      </c>
      <c r="C12" s="39" t="n">
        <v>1564864</v>
      </c>
      <c r="D12" s="40" t="n">
        <v>13170</v>
      </c>
      <c r="E12" s="41" t="n">
        <v>33176</v>
      </c>
      <c r="F12" s="42">
        <f>IF(E12&gt;0,D12/E12,"N/A")</f>
        <v/>
      </c>
      <c r="G12" s="43" t="n">
        <v>773</v>
      </c>
      <c r="H12" s="44" t="n">
        <v>605528</v>
      </c>
      <c r="I12" s="45">
        <f>IF(H12&gt;0,G12/H12,"N/A")</f>
        <v/>
      </c>
      <c r="J12" s="46" t="n">
        <v>1372332</v>
      </c>
      <c r="K12" s="47" t="n">
        <v>1534118</v>
      </c>
      <c r="L12" s="48">
        <f>IF(K12&gt;0,J12/K12,"N/A")</f>
        <v/>
      </c>
      <c r="M12" s="46" t="n">
        <v>178589</v>
      </c>
      <c r="N12" s="47" t="n">
        <v>164639</v>
      </c>
      <c r="O12" s="48">
        <f>IF(N12&gt;0,M12/N12,"N/A")</f>
        <v/>
      </c>
    </row>
    <row r="13">
      <c r="A13" s="49" t="n">
        <v>2017</v>
      </c>
      <c r="B13" s="50" t="n">
        <v>1800877</v>
      </c>
      <c r="C13" s="50" t="n">
        <v>1746245</v>
      </c>
      <c r="D13" s="40" t="n">
        <v>20645</v>
      </c>
      <c r="E13" s="41" t="n">
        <v>50501</v>
      </c>
      <c r="F13" s="42">
        <f>IF(E13&gt;0,D13/E13,"N/A")</f>
        <v/>
      </c>
      <c r="G13" s="43" t="n">
        <v>1511</v>
      </c>
      <c r="H13" s="44" t="n">
        <v>591597</v>
      </c>
      <c r="I13" s="45">
        <f>IF(H13&gt;0,G13/H13,"N/A")</f>
        <v/>
      </c>
      <c r="J13" s="46" t="n">
        <v>1521121</v>
      </c>
      <c r="K13" s="47" t="n">
        <v>1581856</v>
      </c>
      <c r="L13" s="48">
        <f>IF(K13&gt;0,J13/K13,"N/A")</f>
        <v/>
      </c>
      <c r="M13" s="46" t="n">
        <v>202968</v>
      </c>
      <c r="N13" s="47" t="n">
        <v>168520</v>
      </c>
      <c r="O13" s="48">
        <f>IF(N13&gt;0,M13/N13,"N/A")</f>
        <v/>
      </c>
    </row>
    <row r="14">
      <c r="A14" s="38" t="n">
        <v>2018</v>
      </c>
      <c r="B14" s="39" t="n">
        <v>1839111</v>
      </c>
      <c r="C14" s="39" t="n">
        <v>1726408</v>
      </c>
      <c r="D14" s="40" t="n">
        <v>26521</v>
      </c>
      <c r="E14" s="41" t="n">
        <v>64603</v>
      </c>
      <c r="F14" s="42">
        <f>IF(E14&gt;0,D14/E14,"N/A")</f>
        <v/>
      </c>
      <c r="G14" s="43" t="n">
        <v>1659</v>
      </c>
      <c r="H14" s="44" t="n">
        <v>604058</v>
      </c>
      <c r="I14" s="45">
        <f>IF(H14&gt;0,G14/H14,"N/A")</f>
        <v/>
      </c>
      <c r="J14" s="46" t="n">
        <v>1467397</v>
      </c>
      <c r="K14" s="47" t="n">
        <v>1601358</v>
      </c>
      <c r="L14" s="48">
        <f>IF(K14&gt;0,J14/K14,"N/A")</f>
        <v/>
      </c>
      <c r="M14" s="46" t="n">
        <v>230831</v>
      </c>
      <c r="N14" s="47" t="n">
        <v>173150</v>
      </c>
      <c r="O14" s="48">
        <f>IF(N14&gt;0,M14/N14,"N/A")</f>
        <v/>
      </c>
    </row>
    <row r="15">
      <c r="A15" s="49" t="n">
        <v>2019</v>
      </c>
      <c r="B15" s="50" t="n">
        <v>1864880</v>
      </c>
      <c r="C15" s="50" t="n">
        <v>1751253</v>
      </c>
      <c r="D15" s="40" t="n">
        <v>38780</v>
      </c>
      <c r="E15" s="41" t="n">
        <v>100536</v>
      </c>
      <c r="F15" s="42">
        <f>IF(E15&gt;0,D15/E15,"N/A")</f>
        <v/>
      </c>
      <c r="G15" s="43" t="n">
        <v>1193</v>
      </c>
      <c r="H15" s="44" t="n">
        <v>601414</v>
      </c>
      <c r="I15" s="45">
        <f>IF(H15&gt;0,G15/H15,"N/A")</f>
        <v/>
      </c>
      <c r="J15" s="46" t="n">
        <v>1478681</v>
      </c>
      <c r="K15" s="47" t="n">
        <v>1580102</v>
      </c>
      <c r="L15" s="48">
        <f>IF(K15&gt;0,J15/K15,"N/A")</f>
        <v/>
      </c>
      <c r="M15" s="46" t="n">
        <v>232599</v>
      </c>
      <c r="N15" s="47" t="n">
        <v>184242</v>
      </c>
      <c r="O15" s="48">
        <f>IF(N15&gt;0,M15/N15,"N/A")</f>
        <v/>
      </c>
    </row>
    <row r="16">
      <c r="A16" s="38" t="n">
        <v>2020</v>
      </c>
      <c r="B16" s="39" t="n">
        <v>1944893</v>
      </c>
      <c r="C16" s="39" t="n">
        <v>1790392</v>
      </c>
      <c r="D16" s="40" t="n">
        <v>50393</v>
      </c>
      <c r="E16" s="41" t="n">
        <v>131216</v>
      </c>
      <c r="F16" s="42">
        <f>IF(E16&gt;0,D16/E16,"N/A")</f>
        <v/>
      </c>
      <c r="G16" s="43" t="n">
        <v>1217</v>
      </c>
      <c r="H16" s="44" t="n">
        <v>629100</v>
      </c>
      <c r="I16" s="45">
        <f>IF(H16&gt;0,G16/H16,"N/A")</f>
        <v/>
      </c>
      <c r="J16" s="46" t="n">
        <v>1525114</v>
      </c>
      <c r="K16" s="47" t="n">
        <v>1617150</v>
      </c>
      <c r="L16" s="48">
        <f>IF(K16&gt;0,J16/K16,"N/A")</f>
        <v/>
      </c>
      <c r="M16" s="46" t="n">
        <v>213668</v>
      </c>
      <c r="N16" s="47" t="n">
        <v>196527</v>
      </c>
      <c r="O16" s="48">
        <f>IF(N16&gt;0,M16/N16,"N/A")</f>
        <v/>
      </c>
    </row>
    <row r="17">
      <c r="A17" s="49" t="n">
        <v>2021</v>
      </c>
      <c r="B17" s="50" t="n">
        <v>2024751</v>
      </c>
      <c r="C17" s="50" t="n">
        <v>1772761</v>
      </c>
      <c r="D17" s="40" t="n">
        <v>72128</v>
      </c>
      <c r="E17" s="41" t="n">
        <v>110830</v>
      </c>
      <c r="F17" s="42">
        <f>IF(E17&gt;0,D17/E17,"N/A")</f>
        <v/>
      </c>
      <c r="G17" s="43" t="n">
        <v>1175</v>
      </c>
      <c r="H17" s="44" t="n">
        <v>656785</v>
      </c>
      <c r="I17" s="45">
        <f>IF(H17&gt;0,G17/H17,"N/A")</f>
        <v/>
      </c>
      <c r="J17" s="46" t="n">
        <v>1484084</v>
      </c>
      <c r="K17" s="47" t="n">
        <v>1693885</v>
      </c>
      <c r="L17" s="48">
        <f>IF(K17&gt;0,J17/K17,"N/A")</f>
        <v/>
      </c>
      <c r="M17" s="46" t="n">
        <v>215374</v>
      </c>
      <c r="N17" s="47" t="n">
        <v>220036</v>
      </c>
      <c r="O17" s="48">
        <f>IF(N17&gt;0,M17/N17,"N/A")</f>
        <v/>
      </c>
    </row>
    <row r="18">
      <c r="A18" s="38" t="n">
        <v>2022</v>
      </c>
      <c r="B18" s="39" t="n">
        <v>2175820</v>
      </c>
      <c r="C18" s="39" t="n">
        <v>1969204</v>
      </c>
      <c r="D18" s="40" t="n">
        <v>72898</v>
      </c>
      <c r="E18" s="41" t="n">
        <v>177076</v>
      </c>
      <c r="F18" s="42">
        <f>IF(E18&gt;0,D18/E18,"N/A")</f>
        <v/>
      </c>
      <c r="G18" s="43" t="n">
        <v>1728</v>
      </c>
      <c r="H18" s="44" t="n">
        <v>666181</v>
      </c>
      <c r="I18" s="45">
        <f>IF(H18&gt;0,G18/H18,"N/A")</f>
        <v/>
      </c>
      <c r="J18" s="46" t="n">
        <v>1666339</v>
      </c>
      <c r="K18" s="47" t="n">
        <v>1768221</v>
      </c>
      <c r="L18" s="48">
        <f>IF(K18&gt;0,J18/K18,"N/A")</f>
        <v/>
      </c>
      <c r="M18" s="46" t="n">
        <v>228239</v>
      </c>
      <c r="N18" s="47" t="n">
        <v>230523</v>
      </c>
      <c r="O18" s="48">
        <f>IF(N18&gt;0,M18/N18,"N/A")</f>
        <v/>
      </c>
    </row>
    <row r="19">
      <c r="A19" s="49" t="n">
        <v>2023</v>
      </c>
      <c r="B19" s="50" t="n">
        <v>2423731</v>
      </c>
      <c r="C19" s="50" t="n">
        <v>1999539</v>
      </c>
      <c r="D19" s="40" t="n">
        <v>73591</v>
      </c>
      <c r="E19" s="41" t="n">
        <v>251518</v>
      </c>
      <c r="F19" s="42">
        <f>IF(E19&gt;0,D19/E19,"N/A")</f>
        <v/>
      </c>
      <c r="G19" s="43" t="n">
        <v>1896</v>
      </c>
      <c r="H19" s="44" t="n">
        <v>719502</v>
      </c>
      <c r="I19" s="45">
        <f>IF(H19&gt;0,G19/H19,"N/A")</f>
        <v/>
      </c>
      <c r="J19" s="46" t="n">
        <v>1694933</v>
      </c>
      <c r="K19" s="47" t="n">
        <v>1916042</v>
      </c>
      <c r="L19" s="48">
        <f>IF(K19&gt;0,J19/K19,"N/A")</f>
        <v/>
      </c>
      <c r="M19" s="46" t="n">
        <v>229119</v>
      </c>
      <c r="N19" s="47" t="n">
        <v>256171</v>
      </c>
      <c r="O19" s="48">
        <f>IF(N19&gt;0,M19/N19,"N/A")</f>
        <v/>
      </c>
    </row>
    <row r="20">
      <c r="A20" s="38" t="n">
        <v>2024</v>
      </c>
      <c r="B20" s="39" t="n">
        <v>2494514</v>
      </c>
      <c r="C20" s="39" t="n">
        <v>2112891</v>
      </c>
      <c r="D20" s="40" t="n">
        <v>73686</v>
      </c>
      <c r="E20" s="41" t="n">
        <v>254751</v>
      </c>
      <c r="F20" s="42">
        <f>IF(E20&gt;0,D20/E20,"N/A")</f>
        <v/>
      </c>
      <c r="G20" s="43" t="n">
        <v>1972</v>
      </c>
      <c r="H20" s="44" t="n">
        <v>700018</v>
      </c>
      <c r="I20" s="45">
        <f>IF(H20&gt;0,G20/H20,"N/A")</f>
        <v/>
      </c>
      <c r="J20" s="46" t="n">
        <v>1802376</v>
      </c>
      <c r="K20" s="47" t="n">
        <v>1960883</v>
      </c>
      <c r="L20" s="48">
        <f>IF(K20&gt;0,J20/K20,"N/A")</f>
        <v/>
      </c>
      <c r="M20" s="46" t="n">
        <v>234857</v>
      </c>
      <c r="N20" s="47" t="n">
        <v>278880</v>
      </c>
      <c r="O20" s="48">
        <f>IF(N20&gt;0,M20/N20,"N/A")</f>
        <v/>
      </c>
    </row>
  </sheetData>
  <mergeCells count="5">
    <mergeCell ref="D2:F2"/>
    <mergeCell ref="G2:I2"/>
    <mergeCell ref="J2:L2"/>
    <mergeCell ref="M2:O2"/>
    <mergeCell ref="A1:AJ1"/>
  </mergeCells>
  <conditionalFormatting sqref="F4:F20">
    <cfRule type="cellIs" priority="1" operator="lessThan" dxfId="0">
      <formula>0.7</formula>
    </cfRule>
    <cfRule type="cellIs" priority="2" operator="between" dxfId="1">
      <formula>0.7</formula>
      <formula>0.85</formula>
    </cfRule>
    <cfRule type="cellIs" priority="3" operator="greaterThan" dxfId="2">
      <formula>0.85</formula>
    </cfRule>
  </conditionalFormatting>
  <conditionalFormatting sqref="I4:I20">
    <cfRule type="cellIs" priority="4" operator="lessThan" dxfId="0">
      <formula>0.7</formula>
    </cfRule>
    <cfRule type="cellIs" priority="5" operator="between" dxfId="1">
      <formula>0.7</formula>
      <formula>0.85</formula>
    </cfRule>
    <cfRule type="cellIs" priority="6" operator="greaterThan" dxfId="2">
      <formula>0.85</formula>
    </cfRule>
  </conditionalFormatting>
  <conditionalFormatting sqref="L4:L20">
    <cfRule type="cellIs" priority="7" operator="lessThan" dxfId="0">
      <formula>0.7</formula>
    </cfRule>
    <cfRule type="cellIs" priority="8" operator="between" dxfId="1">
      <formula>0.7</formula>
      <formula>0.85</formula>
    </cfRule>
    <cfRule type="cellIs" priority="9" operator="greaterThan" dxfId="2">
      <formula>0.85</formula>
    </cfRule>
  </conditionalFormatting>
  <conditionalFormatting sqref="O4:O20">
    <cfRule type="cellIs" priority="10" operator="lessThan" dxfId="0">
      <formula>0.7</formula>
    </cfRule>
    <cfRule type="cellIs" priority="11" operator="between" dxfId="1">
      <formula>0.7</formula>
      <formula>0.85</formula>
    </cfRule>
    <cfRule type="cellIs" priority="12" operator="greaterThan" dxfId="2">
      <formula>0.85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</cols>
  <sheetData>
    <row r="1" ht="30" customHeight="1">
      <c r="A1" s="28" t="inlineStr">
        <is>
          <t>Cana-de-Açúcar — Série Temporal: MapBiomas vs PAM por Região e Bioma (2008–2024)</t>
        </is>
      </c>
    </row>
    <row r="2">
      <c r="A2" s="29" t="n"/>
      <c r="B2" s="29" t="n"/>
      <c r="C2" s="29" t="n"/>
      <c r="D2" s="31" t="inlineStr">
        <is>
          <t>Barreiras | Caatinga</t>
        </is>
      </c>
      <c r="E2" s="29" t="n"/>
      <c r="F2" s="29" t="n"/>
      <c r="G2" s="32" t="inlineStr">
        <is>
          <t>Porangatu - Uruaçu | Cerrado</t>
        </is>
      </c>
      <c r="H2" s="29" t="n"/>
      <c r="I2" s="29" t="n"/>
    </row>
    <row r="3">
      <c r="A3" s="3" t="inlineStr">
        <is>
          <t>Ano</t>
        </is>
      </c>
      <c r="B3" s="33" t="inlineStr">
        <is>
          <t>PAM Total (ha)</t>
        </is>
      </c>
      <c r="C3" s="34" t="inlineStr">
        <is>
          <t>MB Total (ha)</t>
        </is>
      </c>
      <c r="D3" s="35" t="inlineStr">
        <is>
          <t>MB (ha)</t>
        </is>
      </c>
      <c r="E3" s="36" t="inlineStr">
        <is>
          <t>PAM (ha)</t>
        </is>
      </c>
      <c r="F3" s="37" t="inlineStr">
        <is>
          <t>Ratio MB/PAM</t>
        </is>
      </c>
      <c r="G3" s="35" t="inlineStr">
        <is>
          <t>MB (ha)</t>
        </is>
      </c>
      <c r="H3" s="36" t="inlineStr">
        <is>
          <t>PAM (ha)</t>
        </is>
      </c>
      <c r="I3" s="37" t="inlineStr">
        <is>
          <t>Ratio MB/PAM</t>
        </is>
      </c>
    </row>
    <row r="4">
      <c r="A4" s="38" t="n">
        <v>2008</v>
      </c>
      <c r="B4" s="39" t="n">
        <v>100063</v>
      </c>
      <c r="C4" s="39" t="n">
        <v>69896</v>
      </c>
      <c r="D4" s="43" t="n">
        <v>0</v>
      </c>
      <c r="E4" s="44" t="n">
        <v>12000</v>
      </c>
      <c r="F4" s="45">
        <f>IF(E4&gt;0,D4/E4,"N/A")</f>
        <v/>
      </c>
      <c r="G4" s="46" t="n">
        <v>69896</v>
      </c>
      <c r="H4" s="47" t="n">
        <v>87000</v>
      </c>
      <c r="I4" s="48">
        <f>IF(H4&gt;0,G4/H4,"N/A")</f>
        <v/>
      </c>
    </row>
    <row r="5">
      <c r="A5" s="49" t="n">
        <v>2009</v>
      </c>
      <c r="B5" s="50" t="n">
        <v>100526</v>
      </c>
      <c r="C5" s="50" t="n">
        <v>77526</v>
      </c>
      <c r="D5" s="43" t="n">
        <v>0</v>
      </c>
      <c r="E5" s="44" t="n">
        <v>7572</v>
      </c>
      <c r="F5" s="45">
        <f>IF(E5&gt;0,D5/E5,"N/A")</f>
        <v/>
      </c>
      <c r="G5" s="46" t="n">
        <v>77526</v>
      </c>
      <c r="H5" s="47" t="n">
        <v>91809</v>
      </c>
      <c r="I5" s="48">
        <f>IF(H5&gt;0,G5/H5,"N/A")</f>
        <v/>
      </c>
    </row>
    <row r="6">
      <c r="A6" s="38" t="n">
        <v>2010</v>
      </c>
      <c r="B6" s="39" t="n">
        <v>97461</v>
      </c>
      <c r="C6" s="39" t="n">
        <v>83150</v>
      </c>
      <c r="D6" s="43" t="n">
        <v>0</v>
      </c>
      <c r="E6" s="44" t="n">
        <v>7715</v>
      </c>
      <c r="F6" s="45">
        <f>IF(E6&gt;0,D6/E6,"N/A")</f>
        <v/>
      </c>
      <c r="G6" s="46" t="n">
        <v>83150</v>
      </c>
      <c r="H6" s="47" t="n">
        <v>88658</v>
      </c>
      <c r="I6" s="48">
        <f>IF(H6&gt;0,G6/H6,"N/A")</f>
        <v/>
      </c>
    </row>
    <row r="7">
      <c r="A7" s="49" t="n">
        <v>2011</v>
      </c>
      <c r="B7" s="50" t="n">
        <v>124798</v>
      </c>
      <c r="C7" s="50" t="n">
        <v>86004</v>
      </c>
      <c r="D7" s="43" t="n">
        <v>0</v>
      </c>
      <c r="E7" s="44" t="n">
        <v>7138</v>
      </c>
      <c r="F7" s="45">
        <f>IF(E7&gt;0,D7/E7,"N/A")</f>
        <v/>
      </c>
      <c r="G7" s="46" t="n">
        <v>86004</v>
      </c>
      <c r="H7" s="47" t="n">
        <v>116686</v>
      </c>
      <c r="I7" s="48">
        <f>IF(H7&gt;0,G7/H7,"N/A")</f>
        <v/>
      </c>
    </row>
    <row r="8">
      <c r="A8" s="38" t="n">
        <v>2012</v>
      </c>
      <c r="B8" s="39" t="n">
        <v>136764</v>
      </c>
      <c r="C8" s="39" t="n">
        <v>91872</v>
      </c>
      <c r="D8" s="43" t="n">
        <v>0</v>
      </c>
      <c r="E8" s="44" t="n">
        <v>9655</v>
      </c>
      <c r="F8" s="45">
        <f>IF(E8&gt;0,D8/E8,"N/A")</f>
        <v/>
      </c>
      <c r="G8" s="46" t="n">
        <v>91872</v>
      </c>
      <c r="H8" s="47" t="n">
        <v>126247</v>
      </c>
      <c r="I8" s="48">
        <f>IF(H8&gt;0,G8/H8,"N/A")</f>
        <v/>
      </c>
    </row>
    <row r="9">
      <c r="A9" s="49" t="n">
        <v>2013</v>
      </c>
      <c r="B9" s="50" t="n">
        <v>137688</v>
      </c>
      <c r="C9" s="50" t="n">
        <v>103705</v>
      </c>
      <c r="D9" s="43" t="n">
        <v>2</v>
      </c>
      <c r="E9" s="44" t="n">
        <v>14995</v>
      </c>
      <c r="F9" s="45">
        <f>IF(E9&gt;0,D9/E9,"N/A")</f>
        <v/>
      </c>
      <c r="G9" s="46" t="n">
        <v>103703</v>
      </c>
      <c r="H9" s="47" t="n">
        <v>121805</v>
      </c>
      <c r="I9" s="48">
        <f>IF(H9&gt;0,G9/H9,"N/A")</f>
        <v/>
      </c>
    </row>
    <row r="10">
      <c r="A10" s="38" t="n">
        <v>2014</v>
      </c>
      <c r="B10" s="39" t="n">
        <v>138965</v>
      </c>
      <c r="C10" s="39" t="n">
        <v>115867</v>
      </c>
      <c r="D10" s="43" t="n">
        <v>3</v>
      </c>
      <c r="E10" s="44" t="n">
        <v>13465</v>
      </c>
      <c r="F10" s="45">
        <f>IF(E10&gt;0,D10/E10,"N/A")</f>
        <v/>
      </c>
      <c r="G10" s="46" t="n">
        <v>115864</v>
      </c>
      <c r="H10" s="47" t="n">
        <v>124344</v>
      </c>
      <c r="I10" s="48">
        <f>IF(H10&gt;0,G10/H10,"N/A")</f>
        <v/>
      </c>
    </row>
    <row r="11">
      <c r="A11" s="49" t="n">
        <v>2015</v>
      </c>
      <c r="B11" s="50" t="n">
        <v>145896</v>
      </c>
      <c r="C11" s="50" t="n">
        <v>126535</v>
      </c>
      <c r="D11" s="43" t="n">
        <v>3</v>
      </c>
      <c r="E11" s="44" t="n">
        <v>11780</v>
      </c>
      <c r="F11" s="45">
        <f>IF(E11&gt;0,D11/E11,"N/A")</f>
        <v/>
      </c>
      <c r="G11" s="46" t="n">
        <v>126532</v>
      </c>
      <c r="H11" s="47" t="n">
        <v>132749</v>
      </c>
      <c r="I11" s="48">
        <f>IF(H11&gt;0,G11/H11,"N/A")</f>
        <v/>
      </c>
    </row>
    <row r="12">
      <c r="A12" s="38" t="n">
        <v>2016</v>
      </c>
      <c r="B12" s="39" t="n">
        <v>142306</v>
      </c>
      <c r="C12" s="39" t="n">
        <v>131376</v>
      </c>
      <c r="D12" s="43" t="n">
        <v>3</v>
      </c>
      <c r="E12" s="44" t="n">
        <v>12874</v>
      </c>
      <c r="F12" s="45">
        <f>IF(E12&gt;0,D12/E12,"N/A")</f>
        <v/>
      </c>
      <c r="G12" s="46" t="n">
        <v>131373</v>
      </c>
      <c r="H12" s="47" t="n">
        <v>128121</v>
      </c>
      <c r="I12" s="48">
        <f>IF(H12&gt;0,G12/H12,"N/A")</f>
        <v/>
      </c>
    </row>
    <row r="13">
      <c r="A13" s="49" t="n">
        <v>2017</v>
      </c>
      <c r="B13" s="50" t="n">
        <v>128865</v>
      </c>
      <c r="C13" s="50" t="n">
        <v>138983</v>
      </c>
      <c r="D13" s="43" t="n">
        <v>3</v>
      </c>
      <c r="E13" s="44" t="n">
        <v>3752</v>
      </c>
      <c r="F13" s="45">
        <f>IF(E13&gt;0,D13/E13,"N/A")</f>
        <v/>
      </c>
      <c r="G13" s="46" t="n">
        <v>138980</v>
      </c>
      <c r="H13" s="47" t="n">
        <v>124607</v>
      </c>
      <c r="I13" s="48">
        <f>IF(H13&gt;0,G13/H13,"N/A")</f>
        <v/>
      </c>
    </row>
    <row r="14">
      <c r="A14" s="38" t="n">
        <v>2018</v>
      </c>
      <c r="B14" s="39" t="n">
        <v>137122</v>
      </c>
      <c r="C14" s="39" t="n">
        <v>136815</v>
      </c>
      <c r="D14" s="43" t="n">
        <v>3</v>
      </c>
      <c r="E14" s="44" t="n">
        <v>2790</v>
      </c>
      <c r="F14" s="45">
        <f>IF(E14&gt;0,D14/E14,"N/A")</f>
        <v/>
      </c>
      <c r="G14" s="46" t="n">
        <v>136812</v>
      </c>
      <c r="H14" s="47" t="n">
        <v>133821</v>
      </c>
      <c r="I14" s="48">
        <f>IF(H14&gt;0,G14/H14,"N/A")</f>
        <v/>
      </c>
    </row>
    <row r="15">
      <c r="A15" s="49" t="n">
        <v>2019</v>
      </c>
      <c r="B15" s="50" t="n">
        <v>143718</v>
      </c>
      <c r="C15" s="50" t="n">
        <v>139390</v>
      </c>
      <c r="D15" s="43" t="n">
        <v>3</v>
      </c>
      <c r="E15" s="44" t="n">
        <v>2705</v>
      </c>
      <c r="F15" s="45">
        <f>IF(E15&gt;0,D15/E15,"N/A")</f>
        <v/>
      </c>
      <c r="G15" s="46" t="n">
        <v>139387</v>
      </c>
      <c r="H15" s="47" t="n">
        <v>140407</v>
      </c>
      <c r="I15" s="48">
        <f>IF(H15&gt;0,G15/H15,"N/A")</f>
        <v/>
      </c>
    </row>
    <row r="16">
      <c r="A16" s="38" t="n">
        <v>2020</v>
      </c>
      <c r="B16" s="39" t="n">
        <v>146409</v>
      </c>
      <c r="C16" s="39" t="n">
        <v>143669</v>
      </c>
      <c r="D16" s="43" t="n">
        <v>14</v>
      </c>
      <c r="E16" s="44" t="n">
        <v>2574</v>
      </c>
      <c r="F16" s="45">
        <f>IF(E16&gt;0,D16/E16,"N/A")</f>
        <v/>
      </c>
      <c r="G16" s="46" t="n">
        <v>143655</v>
      </c>
      <c r="H16" s="47" t="n">
        <v>143332</v>
      </c>
      <c r="I16" s="48">
        <f>IF(H16&gt;0,G16/H16,"N/A")</f>
        <v/>
      </c>
    </row>
    <row r="17">
      <c r="A17" s="49" t="n">
        <v>2021</v>
      </c>
      <c r="B17" s="50" t="n">
        <v>148852</v>
      </c>
      <c r="C17" s="50" t="n">
        <v>140021</v>
      </c>
      <c r="D17" s="43" t="n">
        <v>14</v>
      </c>
      <c r="E17" s="44" t="n">
        <v>2605</v>
      </c>
      <c r="F17" s="45">
        <f>IF(E17&gt;0,D17/E17,"N/A")</f>
        <v/>
      </c>
      <c r="G17" s="46" t="n">
        <v>140007</v>
      </c>
      <c r="H17" s="47" t="n">
        <v>145675</v>
      </c>
      <c r="I17" s="48">
        <f>IF(H17&gt;0,G17/H17,"N/A")</f>
        <v/>
      </c>
    </row>
    <row r="18">
      <c r="A18" s="38" t="n">
        <v>2022</v>
      </c>
      <c r="B18" s="39" t="n">
        <v>149302</v>
      </c>
      <c r="C18" s="39" t="n">
        <v>139073</v>
      </c>
      <c r="D18" s="43" t="n">
        <v>5</v>
      </c>
      <c r="E18" s="44" t="n">
        <v>2673</v>
      </c>
      <c r="F18" s="45">
        <f>IF(E18&gt;0,D18/E18,"N/A")</f>
        <v/>
      </c>
      <c r="G18" s="46" t="n">
        <v>139068</v>
      </c>
      <c r="H18" s="47" t="n">
        <v>146086</v>
      </c>
      <c r="I18" s="48">
        <f>IF(H18&gt;0,G18/H18,"N/A")</f>
        <v/>
      </c>
    </row>
    <row r="19">
      <c r="A19" s="49" t="n">
        <v>2023</v>
      </c>
      <c r="B19" s="50" t="n">
        <v>184420</v>
      </c>
      <c r="C19" s="50" t="n">
        <v>131358</v>
      </c>
      <c r="D19" s="43" t="n">
        <v>2</v>
      </c>
      <c r="E19" s="44" t="n">
        <v>2745</v>
      </c>
      <c r="F19" s="45">
        <f>IF(E19&gt;0,D19/E19,"N/A")</f>
        <v/>
      </c>
      <c r="G19" s="46" t="n">
        <v>131356</v>
      </c>
      <c r="H19" s="47" t="n">
        <v>181080</v>
      </c>
      <c r="I19" s="48">
        <f>IF(H19&gt;0,G19/H19,"N/A")</f>
        <v/>
      </c>
    </row>
    <row r="20">
      <c r="A20" s="38" t="n">
        <v>2024</v>
      </c>
      <c r="B20" s="39" t="n">
        <v>183713</v>
      </c>
      <c r="C20" s="39" t="n">
        <v>130164</v>
      </c>
      <c r="D20" s="43" t="n">
        <v>2</v>
      </c>
      <c r="E20" s="44" t="n">
        <v>2594</v>
      </c>
      <c r="F20" s="45">
        <f>IF(E20&gt;0,D20/E20,"N/A")</f>
        <v/>
      </c>
      <c r="G20" s="46" t="n">
        <v>130162</v>
      </c>
      <c r="H20" s="47" t="n">
        <v>180568</v>
      </c>
      <c r="I20" s="48">
        <f>IF(H20&gt;0,G20/H20,"N/A")</f>
        <v/>
      </c>
    </row>
  </sheetData>
  <mergeCells count="3">
    <mergeCell ref="D2:F2"/>
    <mergeCell ref="G2:I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51" t="inlineStr">
        <is>
          <t>Pastagem — MapBiomas Col.10.1 por Região e Bioma (2008–2024) | PAM não disponível para pastagem</t>
        </is>
      </c>
    </row>
    <row r="2">
      <c r="A2" s="29" t="n"/>
      <c r="B2" s="30" t="inlineStr">
        <is>
          <t>Porto Velho | Amazônia</t>
        </is>
      </c>
      <c r="C2" s="31" t="inlineStr">
        <is>
          <t>Barreiras | Caatinga</t>
        </is>
      </c>
      <c r="D2" s="32" t="inlineStr">
        <is>
          <t>Barreiras | Cerrado</t>
        </is>
      </c>
      <c r="E2" s="32" t="inlineStr">
        <is>
          <t>Porangatu - Uruaçu | Cerrado</t>
        </is>
      </c>
    </row>
    <row r="3">
      <c r="A3" s="3" t="inlineStr">
        <is>
          <t>Ano</t>
        </is>
      </c>
      <c r="B3" s="35" t="inlineStr">
        <is>
          <t>MB (ha)</t>
        </is>
      </c>
      <c r="C3" s="35" t="inlineStr">
        <is>
          <t>MB (ha)</t>
        </is>
      </c>
      <c r="D3" s="35" t="inlineStr">
        <is>
          <t>MB (ha)</t>
        </is>
      </c>
      <c r="E3" s="35" t="inlineStr">
        <is>
          <t>MB (ha)</t>
        </is>
      </c>
    </row>
    <row r="4">
      <c r="A4" s="38" t="n">
        <v>2008</v>
      </c>
      <c r="B4" s="40" t="n">
        <v>3073851</v>
      </c>
      <c r="C4" s="43" t="n">
        <v>618322</v>
      </c>
      <c r="D4" s="46" t="n">
        <v>341417</v>
      </c>
      <c r="E4" s="46" t="n">
        <v>2740723</v>
      </c>
    </row>
    <row r="5">
      <c r="A5" s="49" t="n">
        <v>2009</v>
      </c>
      <c r="B5" s="40" t="n">
        <v>3114291</v>
      </c>
      <c r="C5" s="43" t="n">
        <v>628255</v>
      </c>
      <c r="D5" s="46" t="n">
        <v>346115</v>
      </c>
      <c r="E5" s="46" t="n">
        <v>2733851</v>
      </c>
    </row>
    <row r="6">
      <c r="A6" s="38" t="n">
        <v>2010</v>
      </c>
      <c r="B6" s="40" t="n">
        <v>3145845</v>
      </c>
      <c r="C6" s="43" t="n">
        <v>633522</v>
      </c>
      <c r="D6" s="46" t="n">
        <v>349208</v>
      </c>
      <c r="E6" s="46" t="n">
        <v>2752213</v>
      </c>
    </row>
    <row r="7">
      <c r="A7" s="49" t="n">
        <v>2011</v>
      </c>
      <c r="B7" s="40" t="n">
        <v>3223964</v>
      </c>
      <c r="C7" s="43" t="n">
        <v>638635</v>
      </c>
      <c r="D7" s="46" t="n">
        <v>346908</v>
      </c>
      <c r="E7" s="46" t="n">
        <v>2770522</v>
      </c>
    </row>
    <row r="8">
      <c r="A8" s="38" t="n">
        <v>2012</v>
      </c>
      <c r="B8" s="40" t="n">
        <v>3290521</v>
      </c>
      <c r="C8" s="43" t="n">
        <v>651858</v>
      </c>
      <c r="D8" s="46" t="n">
        <v>353309</v>
      </c>
      <c r="E8" s="46" t="n">
        <v>2804903</v>
      </c>
    </row>
    <row r="9">
      <c r="A9" s="49" t="n">
        <v>2013</v>
      </c>
      <c r="B9" s="40" t="n">
        <v>3366060</v>
      </c>
      <c r="C9" s="43" t="n">
        <v>673573</v>
      </c>
      <c r="D9" s="46" t="n">
        <v>385534</v>
      </c>
      <c r="E9" s="46" t="n">
        <v>2842356</v>
      </c>
    </row>
    <row r="10">
      <c r="A10" s="38" t="n">
        <v>2014</v>
      </c>
      <c r="B10" s="40" t="n">
        <v>3432858</v>
      </c>
      <c r="C10" s="43" t="n">
        <v>687889</v>
      </c>
      <c r="D10" s="46" t="n">
        <v>424792</v>
      </c>
      <c r="E10" s="46" t="n">
        <v>2860124</v>
      </c>
    </row>
    <row r="11">
      <c r="A11" s="49" t="n">
        <v>2015</v>
      </c>
      <c r="B11" s="40" t="n">
        <v>3531672</v>
      </c>
      <c r="C11" s="43" t="n">
        <v>698749</v>
      </c>
      <c r="D11" s="46" t="n">
        <v>455298</v>
      </c>
      <c r="E11" s="46" t="n">
        <v>2854121</v>
      </c>
    </row>
    <row r="12">
      <c r="A12" s="38" t="n">
        <v>2016</v>
      </c>
      <c r="B12" s="40" t="n">
        <v>3659762</v>
      </c>
      <c r="C12" s="43" t="n">
        <v>699565</v>
      </c>
      <c r="D12" s="46" t="n">
        <v>474451</v>
      </c>
      <c r="E12" s="46" t="n">
        <v>2854065</v>
      </c>
    </row>
    <row r="13">
      <c r="A13" s="49" t="n">
        <v>2017</v>
      </c>
      <c r="B13" s="40" t="n">
        <v>3764170</v>
      </c>
      <c r="C13" s="43" t="n">
        <v>696816</v>
      </c>
      <c r="D13" s="46" t="n">
        <v>478764</v>
      </c>
      <c r="E13" s="46" t="n">
        <v>2837170</v>
      </c>
    </row>
    <row r="14">
      <c r="A14" s="38" t="n">
        <v>2018</v>
      </c>
      <c r="B14" s="40" t="n">
        <v>3850850</v>
      </c>
      <c r="C14" s="43" t="n">
        <v>689800</v>
      </c>
      <c r="D14" s="46" t="n">
        <v>489496</v>
      </c>
      <c r="E14" s="46" t="n">
        <v>2814101</v>
      </c>
    </row>
    <row r="15">
      <c r="A15" s="49" t="n">
        <v>2019</v>
      </c>
      <c r="B15" s="40" t="n">
        <v>3984396</v>
      </c>
      <c r="C15" s="43" t="n">
        <v>688023</v>
      </c>
      <c r="D15" s="46" t="n">
        <v>494343</v>
      </c>
      <c r="E15" s="46" t="n">
        <v>2798664</v>
      </c>
    </row>
    <row r="16">
      <c r="A16" s="38" t="n">
        <v>2020</v>
      </c>
      <c r="B16" s="40" t="n">
        <v>4114081</v>
      </c>
      <c r="C16" s="43" t="n">
        <v>686213</v>
      </c>
      <c r="D16" s="46" t="n">
        <v>490302</v>
      </c>
      <c r="E16" s="46" t="n">
        <v>2791677</v>
      </c>
    </row>
    <row r="17">
      <c r="A17" s="49" t="n">
        <v>2021</v>
      </c>
      <c r="B17" s="40" t="n">
        <v>4275117</v>
      </c>
      <c r="C17" s="43" t="n">
        <v>691401</v>
      </c>
      <c r="D17" s="46" t="n">
        <v>488481</v>
      </c>
      <c r="E17" s="46" t="n">
        <v>2799082</v>
      </c>
    </row>
    <row r="18">
      <c r="A18" s="38" t="n">
        <v>2022</v>
      </c>
      <c r="B18" s="40" t="n">
        <v>4436542</v>
      </c>
      <c r="C18" s="43" t="n">
        <v>699838</v>
      </c>
      <c r="D18" s="46" t="n">
        <v>491862</v>
      </c>
      <c r="E18" s="46" t="n">
        <v>2797554</v>
      </c>
    </row>
    <row r="19">
      <c r="A19" s="49" t="n">
        <v>2023</v>
      </c>
      <c r="B19" s="40" t="n">
        <v>4538213</v>
      </c>
      <c r="C19" s="43" t="n">
        <v>699245</v>
      </c>
      <c r="D19" s="46" t="n">
        <v>492559</v>
      </c>
      <c r="E19" s="46" t="n">
        <v>2793000</v>
      </c>
    </row>
    <row r="20">
      <c r="A20" s="38" t="n">
        <v>2024</v>
      </c>
      <c r="B20" s="40" t="n">
        <v>4583320</v>
      </c>
      <c r="C20" s="43" t="n">
        <v>688885</v>
      </c>
      <c r="D20" s="46" t="n">
        <v>505477</v>
      </c>
      <c r="E20" s="46" t="n">
        <v>2777659</v>
      </c>
    </row>
  </sheetData>
  <mergeCells count="5">
    <mergeCell ref="A1:L1"/>
    <mergeCell ref="B2"/>
    <mergeCell ref="D2"/>
    <mergeCell ref="C2"/>
    <mergeCell ref="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51" t="inlineStr">
        <is>
          <t>PAM/IBGE — Área Plantada por Cultura e Região Intermediária (2008–2024) | Unidade: hectares</t>
        </is>
      </c>
    </row>
    <row r="3">
      <c r="A3" s="3" t="inlineStr">
        <is>
          <t>Região</t>
        </is>
      </c>
      <c r="B3" s="3" t="inlineStr">
        <is>
          <t>Cultura</t>
        </is>
      </c>
      <c r="C3" s="52" t="inlineStr">
        <is>
          <t>2008</t>
        </is>
      </c>
      <c r="D3" s="52" t="inlineStr">
        <is>
          <t>2009</t>
        </is>
      </c>
      <c r="E3" s="52" t="inlineStr">
        <is>
          <t>2010</t>
        </is>
      </c>
      <c r="F3" s="52" t="inlineStr">
        <is>
          <t>2011</t>
        </is>
      </c>
      <c r="G3" s="52" t="inlineStr">
        <is>
          <t>2012</t>
        </is>
      </c>
      <c r="H3" s="52" t="inlineStr">
        <is>
          <t>2013</t>
        </is>
      </c>
      <c r="I3" s="52" t="inlineStr">
        <is>
          <t>2014</t>
        </is>
      </c>
      <c r="J3" s="52" t="inlineStr">
        <is>
          <t>2015</t>
        </is>
      </c>
      <c r="K3" s="52" t="inlineStr">
        <is>
          <t>2016</t>
        </is>
      </c>
      <c r="L3" s="52" t="inlineStr">
        <is>
          <t>2017</t>
        </is>
      </c>
      <c r="M3" s="52" t="inlineStr">
        <is>
          <t>2018</t>
        </is>
      </c>
      <c r="N3" s="52" t="inlineStr">
        <is>
          <t>2019</t>
        </is>
      </c>
      <c r="O3" s="52" t="inlineStr">
        <is>
          <t>2020</t>
        </is>
      </c>
      <c r="P3" s="52" t="inlineStr">
        <is>
          <t>2021</t>
        </is>
      </c>
      <c r="Q3" s="52" t="inlineStr">
        <is>
          <t>2022</t>
        </is>
      </c>
      <c r="R3" s="52" t="inlineStr">
        <is>
          <t>2023</t>
        </is>
      </c>
      <c r="S3" s="52" t="inlineStr">
        <is>
          <t>2024</t>
        </is>
      </c>
    </row>
    <row r="4">
      <c r="A4" s="22" t="inlineStr">
        <is>
          <t>Porto Velho</t>
        </is>
      </c>
      <c r="B4" s="23" t="inlineStr">
        <is>
          <t>SOJA</t>
        </is>
      </c>
      <c r="C4" s="53" t="n">
        <v>400</v>
      </c>
      <c r="D4" s="53" t="n">
        <v>720</v>
      </c>
      <c r="E4" s="53" t="n">
        <v>1805</v>
      </c>
      <c r="F4" s="53" t="n">
        <v>2055</v>
      </c>
      <c r="G4" s="53" t="n">
        <v>4802</v>
      </c>
      <c r="H4" s="53" t="n">
        <v>5152</v>
      </c>
      <c r="I4" s="53" t="n">
        <v>12616</v>
      </c>
      <c r="J4" s="53" t="n">
        <v>25717</v>
      </c>
      <c r="K4" s="53" t="n">
        <v>33176</v>
      </c>
      <c r="L4" s="53" t="n">
        <v>50501</v>
      </c>
      <c r="M4" s="53" t="n">
        <v>64603</v>
      </c>
      <c r="N4" s="53" t="n">
        <v>100536</v>
      </c>
      <c r="O4" s="53" t="n">
        <v>131216</v>
      </c>
      <c r="P4" s="53" t="n">
        <v>110830</v>
      </c>
      <c r="Q4" s="53" t="n">
        <v>177076</v>
      </c>
      <c r="R4" s="53" t="n">
        <v>251518</v>
      </c>
      <c r="S4" s="53" t="n">
        <v>254751</v>
      </c>
    </row>
    <row r="5">
      <c r="A5" s="22" t="inlineStr">
        <is>
          <t>Porto Velho</t>
        </is>
      </c>
      <c r="B5" s="23" t="inlineStr">
        <is>
          <t>MILHO</t>
        </is>
      </c>
      <c r="C5" s="53" t="n">
        <v>28640</v>
      </c>
      <c r="D5" s="53" t="n">
        <v>30844</v>
      </c>
      <c r="E5" s="53" t="n">
        <v>32028</v>
      </c>
      <c r="F5" s="53" t="n">
        <v>29569</v>
      </c>
      <c r="G5" s="53" t="n">
        <v>18964</v>
      </c>
      <c r="H5" s="53" t="n">
        <v>15737</v>
      </c>
      <c r="I5" s="53" t="n">
        <v>15361</v>
      </c>
      <c r="J5" s="53" t="n">
        <v>20147</v>
      </c>
      <c r="K5" s="53" t="n">
        <v>17883</v>
      </c>
      <c r="L5" s="53" t="n">
        <v>24149</v>
      </c>
      <c r="M5" s="53" t="n">
        <v>22459</v>
      </c>
      <c r="N5" s="53" t="n">
        <v>35243</v>
      </c>
      <c r="O5" s="53" t="n">
        <v>36879</v>
      </c>
      <c r="P5" s="53" t="n">
        <v>45587</v>
      </c>
      <c r="Q5" s="53" t="n">
        <v>76397</v>
      </c>
      <c r="R5" s="53" t="n">
        <v>73695</v>
      </c>
      <c r="S5" s="53" t="n">
        <v>106742</v>
      </c>
    </row>
    <row r="6">
      <c r="A6" s="22" t="inlineStr">
        <is>
          <t>Porto Velho</t>
        </is>
      </c>
      <c r="B6" s="23" t="inlineStr">
        <is>
          <t>CANA</t>
        </is>
      </c>
      <c r="C6" s="53" t="n">
        <v>153</v>
      </c>
      <c r="D6" s="53" t="n">
        <v>177</v>
      </c>
      <c r="E6" s="53" t="n">
        <v>73</v>
      </c>
      <c r="F6" s="53" t="n">
        <v>94</v>
      </c>
      <c r="G6" s="53" t="n">
        <v>0</v>
      </c>
      <c r="H6" s="53" t="n">
        <v>148</v>
      </c>
      <c r="I6" s="53" t="n">
        <v>331</v>
      </c>
      <c r="J6" s="53" t="n">
        <v>492</v>
      </c>
      <c r="K6" s="53" t="n">
        <v>411</v>
      </c>
      <c r="L6" s="53" t="n">
        <v>249</v>
      </c>
      <c r="M6" s="53" t="n">
        <v>231</v>
      </c>
      <c r="N6" s="53" t="n">
        <v>326</v>
      </c>
      <c r="O6" s="53" t="n">
        <v>253</v>
      </c>
      <c r="P6" s="53" t="n">
        <v>322</v>
      </c>
      <c r="Q6" s="53" t="n">
        <v>257</v>
      </c>
      <c r="R6" s="53" t="n">
        <v>300</v>
      </c>
      <c r="S6" s="53" t="n">
        <v>301</v>
      </c>
    </row>
    <row r="7">
      <c r="A7" s="22" t="inlineStr">
        <is>
          <t>Porto Velho</t>
        </is>
      </c>
      <c r="B7" s="23" t="inlineStr">
        <is>
          <t>ALGODAO HERBACEO</t>
        </is>
      </c>
      <c r="C7" s="53" t="n">
        <v>0</v>
      </c>
      <c r="D7" s="53" t="n">
        <v>0</v>
      </c>
      <c r="E7" s="53" t="n">
        <v>0</v>
      </c>
      <c r="F7" s="53" t="n">
        <v>0</v>
      </c>
      <c r="G7" s="53" t="n">
        <v>0</v>
      </c>
      <c r="H7" s="53" t="n">
        <v>0</v>
      </c>
      <c r="I7" s="53" t="n">
        <v>0</v>
      </c>
      <c r="J7" s="53" t="n">
        <v>0</v>
      </c>
      <c r="K7" s="53" t="n">
        <v>0</v>
      </c>
      <c r="L7" s="53" t="n">
        <v>0</v>
      </c>
      <c r="M7" s="53" t="n">
        <v>0</v>
      </c>
      <c r="N7" s="53" t="n">
        <v>0</v>
      </c>
      <c r="O7" s="53" t="n">
        <v>0</v>
      </c>
      <c r="P7" s="53" t="n">
        <v>0</v>
      </c>
      <c r="Q7" s="53" t="n">
        <v>0</v>
      </c>
      <c r="R7" s="53" t="n">
        <v>0</v>
      </c>
      <c r="S7" s="53" t="n">
        <v>0</v>
      </c>
    </row>
    <row r="8">
      <c r="A8" s="22" t="inlineStr">
        <is>
          <t>Porto Velho</t>
        </is>
      </c>
      <c r="B8" s="23" t="inlineStr">
        <is>
          <t>ALGODAO ARBOREO</t>
        </is>
      </c>
      <c r="C8" s="53" t="n">
        <v>0</v>
      </c>
      <c r="D8" s="53" t="n">
        <v>0</v>
      </c>
      <c r="E8" s="53" t="n">
        <v>0</v>
      </c>
      <c r="F8" s="53" t="n">
        <v>0</v>
      </c>
      <c r="G8" s="53" t="n">
        <v>0</v>
      </c>
      <c r="H8" s="53" t="n">
        <v>0</v>
      </c>
      <c r="I8" s="53" t="n">
        <v>0</v>
      </c>
      <c r="J8" s="53" t="n">
        <v>0</v>
      </c>
      <c r="K8" s="53" t="n">
        <v>0</v>
      </c>
      <c r="L8" s="53" t="n">
        <v>0</v>
      </c>
      <c r="M8" s="53" t="n">
        <v>0</v>
      </c>
      <c r="N8" s="53" t="n">
        <v>0</v>
      </c>
      <c r="O8" s="53" t="n">
        <v>0</v>
      </c>
      <c r="P8" s="53" t="n">
        <v>0</v>
      </c>
      <c r="Q8" s="53" t="n">
        <v>0</v>
      </c>
      <c r="R8" s="53" t="n">
        <v>0</v>
      </c>
      <c r="S8" s="53" t="n">
        <v>0</v>
      </c>
    </row>
    <row r="9">
      <c r="A9" s="5" t="inlineStr">
        <is>
          <t>Barreiras</t>
        </is>
      </c>
      <c r="B9" s="6" t="inlineStr">
        <is>
          <t>SOJA</t>
        </is>
      </c>
      <c r="C9" s="54" t="n">
        <v>903400</v>
      </c>
      <c r="D9" s="54" t="n">
        <v>948499</v>
      </c>
      <c r="E9" s="54" t="n">
        <v>1014950</v>
      </c>
      <c r="F9" s="54" t="n">
        <v>1043200</v>
      </c>
      <c r="G9" s="54" t="n">
        <v>1110157</v>
      </c>
      <c r="H9" s="54" t="n">
        <v>1209267</v>
      </c>
      <c r="I9" s="54" t="n">
        <v>1274369</v>
      </c>
      <c r="J9" s="54" t="n">
        <v>1437663</v>
      </c>
      <c r="K9" s="54" t="n">
        <v>1534228</v>
      </c>
      <c r="L9" s="54" t="n">
        <v>1581856</v>
      </c>
      <c r="M9" s="54" t="n">
        <v>1601358</v>
      </c>
      <c r="N9" s="54" t="n">
        <v>1580102</v>
      </c>
      <c r="O9" s="54" t="n">
        <v>1617150</v>
      </c>
      <c r="P9" s="54" t="n">
        <v>1693885</v>
      </c>
      <c r="Q9" s="54" t="n">
        <v>1768221</v>
      </c>
      <c r="R9" s="54" t="n">
        <v>1916042</v>
      </c>
      <c r="S9" s="54" t="n">
        <v>1960883</v>
      </c>
    </row>
    <row r="10">
      <c r="A10" s="5" t="inlineStr">
        <is>
          <t>Barreiras</t>
        </is>
      </c>
      <c r="B10" s="6" t="inlineStr">
        <is>
          <t>MILHO</t>
        </is>
      </c>
      <c r="C10" s="54" t="n">
        <v>226905</v>
      </c>
      <c r="D10" s="54" t="n">
        <v>239470</v>
      </c>
      <c r="E10" s="54" t="n">
        <v>222110</v>
      </c>
      <c r="F10" s="54" t="n">
        <v>206376</v>
      </c>
      <c r="G10" s="54" t="n">
        <v>255367</v>
      </c>
      <c r="H10" s="54" t="n">
        <v>241110</v>
      </c>
      <c r="I10" s="54" t="n">
        <v>332158</v>
      </c>
      <c r="J10" s="54" t="n">
        <v>273891</v>
      </c>
      <c r="K10" s="54" t="n">
        <v>195287</v>
      </c>
      <c r="L10" s="54" t="n">
        <v>259664</v>
      </c>
      <c r="M10" s="54" t="n">
        <v>260049</v>
      </c>
      <c r="N10" s="54" t="n">
        <v>249419</v>
      </c>
      <c r="O10" s="54" t="n">
        <v>204948</v>
      </c>
      <c r="P10" s="54" t="n">
        <v>211732</v>
      </c>
      <c r="Q10" s="54" t="n">
        <v>221810</v>
      </c>
      <c r="R10" s="54" t="n">
        <v>215753</v>
      </c>
      <c r="S10" s="54" t="n">
        <v>177300</v>
      </c>
    </row>
    <row r="11">
      <c r="A11" s="5" t="inlineStr">
        <is>
          <t>Barreiras</t>
        </is>
      </c>
      <c r="B11" s="6" t="inlineStr">
        <is>
          <t>CANA</t>
        </is>
      </c>
      <c r="C11" s="54" t="n">
        <v>12910</v>
      </c>
      <c r="D11" s="54" t="n">
        <v>8540</v>
      </c>
      <c r="E11" s="54" t="n">
        <v>8730</v>
      </c>
      <c r="F11" s="54" t="n">
        <v>8018</v>
      </c>
      <c r="G11" s="54" t="n">
        <v>10517</v>
      </c>
      <c r="H11" s="54" t="n">
        <v>15735</v>
      </c>
      <c r="I11" s="54" t="n">
        <v>14290</v>
      </c>
      <c r="J11" s="54" t="n">
        <v>12655</v>
      </c>
      <c r="K11" s="54" t="n">
        <v>13774</v>
      </c>
      <c r="L11" s="54" t="n">
        <v>4009</v>
      </c>
      <c r="M11" s="54" t="n">
        <v>3070</v>
      </c>
      <c r="N11" s="54" t="n">
        <v>2985</v>
      </c>
      <c r="O11" s="54" t="n">
        <v>2824</v>
      </c>
      <c r="P11" s="54" t="n">
        <v>2855</v>
      </c>
      <c r="Q11" s="54" t="n">
        <v>2959</v>
      </c>
      <c r="R11" s="54" t="n">
        <v>3040</v>
      </c>
      <c r="S11" s="54" t="n">
        <v>2844</v>
      </c>
    </row>
    <row r="12">
      <c r="A12" s="5" t="inlineStr">
        <is>
          <t>Barreiras</t>
        </is>
      </c>
      <c r="B12" s="6" t="inlineStr">
        <is>
          <t>ALGODAO HERBACEO</t>
        </is>
      </c>
      <c r="C12" s="54" t="n">
        <v>292562</v>
      </c>
      <c r="D12" s="54" t="n">
        <v>262165</v>
      </c>
      <c r="E12" s="54" t="n">
        <v>245561</v>
      </c>
      <c r="F12" s="54" t="n">
        <v>369745</v>
      </c>
      <c r="G12" s="54" t="n">
        <v>382926</v>
      </c>
      <c r="H12" s="54" t="n">
        <v>252908</v>
      </c>
      <c r="I12" s="54" t="n">
        <v>323194</v>
      </c>
      <c r="J12" s="54" t="n">
        <v>318061</v>
      </c>
      <c r="K12" s="54" t="n">
        <v>270384</v>
      </c>
      <c r="L12" s="54" t="n">
        <v>190180</v>
      </c>
      <c r="M12" s="54" t="n">
        <v>259497</v>
      </c>
      <c r="N12" s="54" t="n">
        <v>318978</v>
      </c>
      <c r="O12" s="54" t="n">
        <v>303537</v>
      </c>
      <c r="P12" s="54" t="n">
        <v>266025</v>
      </c>
      <c r="Q12" s="54" t="n">
        <v>293915</v>
      </c>
      <c r="R12" s="54" t="n">
        <v>302339</v>
      </c>
      <c r="S12" s="54" t="n">
        <v>327915</v>
      </c>
    </row>
    <row r="13">
      <c r="A13" s="5" t="inlineStr">
        <is>
          <t>Barreiras</t>
        </is>
      </c>
      <c r="B13" s="6" t="inlineStr">
        <is>
          <t>ALGODAO ARBOREO</t>
        </is>
      </c>
      <c r="C13" s="54" t="n">
        <v>0</v>
      </c>
      <c r="D13" s="54" t="n">
        <v>0</v>
      </c>
      <c r="E13" s="54" t="n">
        <v>0</v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  <c r="R13" s="54" t="n">
        <v>0</v>
      </c>
      <c r="S13" s="54" t="n">
        <v>0</v>
      </c>
    </row>
    <row r="14">
      <c r="A14" s="13" t="inlineStr">
        <is>
          <t>Porangatu - Uruaçu</t>
        </is>
      </c>
      <c r="B14" s="14" t="inlineStr">
        <is>
          <t>SOJA</t>
        </is>
      </c>
      <c r="C14" s="55" t="n">
        <v>63850</v>
      </c>
      <c r="D14" s="55" t="n">
        <v>65400</v>
      </c>
      <c r="E14" s="55" t="n">
        <v>72130</v>
      </c>
      <c r="F14" s="55" t="n">
        <v>85356</v>
      </c>
      <c r="G14" s="55" t="n">
        <v>107466</v>
      </c>
      <c r="H14" s="55" t="n">
        <v>119420</v>
      </c>
      <c r="I14" s="55" t="n">
        <v>135894</v>
      </c>
      <c r="J14" s="55" t="n">
        <v>151359</v>
      </c>
      <c r="K14" s="55" t="n">
        <v>164639</v>
      </c>
      <c r="L14" s="55" t="n">
        <v>168520</v>
      </c>
      <c r="M14" s="55" t="n">
        <v>173150</v>
      </c>
      <c r="N14" s="55" t="n">
        <v>184242</v>
      </c>
      <c r="O14" s="55" t="n">
        <v>196527</v>
      </c>
      <c r="P14" s="55" t="n">
        <v>220036</v>
      </c>
      <c r="Q14" s="55" t="n">
        <v>230523</v>
      </c>
      <c r="R14" s="55" t="n">
        <v>256171</v>
      </c>
      <c r="S14" s="55" t="n">
        <v>278880</v>
      </c>
    </row>
    <row r="15">
      <c r="A15" s="13" t="inlineStr">
        <is>
          <t>Porangatu - Uruaçu</t>
        </is>
      </c>
      <c r="B15" s="14" t="inlineStr">
        <is>
          <t>MILHO</t>
        </is>
      </c>
      <c r="C15" s="55" t="n">
        <v>43050</v>
      </c>
      <c r="D15" s="55" t="n">
        <v>42650</v>
      </c>
      <c r="E15" s="55" t="n">
        <v>37700</v>
      </c>
      <c r="F15" s="55" t="n">
        <v>39912</v>
      </c>
      <c r="G15" s="55" t="n">
        <v>37810</v>
      </c>
      <c r="H15" s="55" t="n">
        <v>35564</v>
      </c>
      <c r="I15" s="55" t="n">
        <v>33670</v>
      </c>
      <c r="J15" s="55" t="n">
        <v>30505</v>
      </c>
      <c r="K15" s="55" t="n">
        <v>38103</v>
      </c>
      <c r="L15" s="55" t="n">
        <v>25900</v>
      </c>
      <c r="M15" s="55" t="n">
        <v>23484</v>
      </c>
      <c r="N15" s="55" t="n">
        <v>29559</v>
      </c>
      <c r="O15" s="55" t="n">
        <v>29319</v>
      </c>
      <c r="P15" s="55" t="n">
        <v>31537</v>
      </c>
      <c r="Q15" s="55" t="n">
        <v>47480</v>
      </c>
      <c r="R15" s="55" t="n">
        <v>45764</v>
      </c>
      <c r="S15" s="55" t="n">
        <v>40960</v>
      </c>
    </row>
    <row r="16">
      <c r="A16" s="13" t="inlineStr">
        <is>
          <t>Porangatu - Uruaçu</t>
        </is>
      </c>
      <c r="B16" s="14" t="inlineStr">
        <is>
          <t>CANA</t>
        </is>
      </c>
      <c r="C16" s="55" t="n">
        <v>87000</v>
      </c>
      <c r="D16" s="55" t="n">
        <v>91809</v>
      </c>
      <c r="E16" s="55" t="n">
        <v>88658</v>
      </c>
      <c r="F16" s="55" t="n">
        <v>116686</v>
      </c>
      <c r="G16" s="55" t="n">
        <v>126247</v>
      </c>
      <c r="H16" s="55" t="n">
        <v>121805</v>
      </c>
      <c r="I16" s="55" t="n">
        <v>124344</v>
      </c>
      <c r="J16" s="55" t="n">
        <v>132749</v>
      </c>
      <c r="K16" s="55" t="n">
        <v>128121</v>
      </c>
      <c r="L16" s="55" t="n">
        <v>124607</v>
      </c>
      <c r="M16" s="55" t="n">
        <v>133821</v>
      </c>
      <c r="N16" s="55" t="n">
        <v>140407</v>
      </c>
      <c r="O16" s="55" t="n">
        <v>143332</v>
      </c>
      <c r="P16" s="55" t="n">
        <v>145675</v>
      </c>
      <c r="Q16" s="55" t="n">
        <v>146086</v>
      </c>
      <c r="R16" s="55" t="n">
        <v>181080</v>
      </c>
      <c r="S16" s="55" t="n">
        <v>180568</v>
      </c>
    </row>
    <row r="17">
      <c r="A17" s="13" t="inlineStr">
        <is>
          <t>Porangatu - Uruaçu</t>
        </is>
      </c>
      <c r="B17" s="14" t="inlineStr">
        <is>
          <t>ALGODAO HERBACEO</t>
        </is>
      </c>
      <c r="C17" s="55" t="n">
        <v>0</v>
      </c>
      <c r="D17" s="55" t="n">
        <v>0</v>
      </c>
      <c r="E17" s="55" t="n">
        <v>0</v>
      </c>
      <c r="F17" s="55" t="n">
        <v>0</v>
      </c>
      <c r="G17" s="55" t="n">
        <v>0</v>
      </c>
      <c r="H17" s="55" t="n">
        <v>0</v>
      </c>
      <c r="I17" s="55" t="n">
        <v>300</v>
      </c>
      <c r="J17" s="55" t="n">
        <v>300</v>
      </c>
      <c r="K17" s="55" t="n">
        <v>300</v>
      </c>
      <c r="L17" s="55" t="n">
        <v>220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</row>
    <row r="18">
      <c r="A18" s="13" t="inlineStr">
        <is>
          <t>Porangatu - Uruaçu</t>
        </is>
      </c>
      <c r="B18" s="14" t="inlineStr">
        <is>
          <t>ALGODAO ARBOREO</t>
        </is>
      </c>
      <c r="C18" s="55" t="n">
        <v>0</v>
      </c>
      <c r="D18" s="55" t="n">
        <v>0</v>
      </c>
      <c r="E18" s="55" t="n">
        <v>0</v>
      </c>
      <c r="F18" s="55" t="n">
        <v>0</v>
      </c>
      <c r="G18" s="55" t="n">
        <v>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2026-03-23T19:48:59Z</dcterms:created>
  <dcterms:modified xmlns:dcterms="http://purl.org/dc/terms/" xmlns:xsi="http://www.w3.org/2001/XMLSchema-instance" xsi:type="dcterms:W3CDTF">2026-03-23T19:48:59Z</dcterms:modified>
</cp:coreProperties>
</file>